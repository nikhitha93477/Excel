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nikhi\Downloads\"/>
    </mc:Choice>
  </mc:AlternateContent>
  <xr:revisionPtr revIDLastSave="0" documentId="13_ncr:1_{62D5645B-B352-4078-8032-604F58FBEF7D}" xr6:coauthVersionLast="47" xr6:coauthVersionMax="47" xr10:uidLastSave="{00000000-0000-0000-0000-000000000000}"/>
  <bookViews>
    <workbookView xWindow="-108" yWindow="-108" windowWidth="23256" windowHeight="12456" tabRatio="849" xr2:uid="{00000000-000D-0000-FFFF-FFFF00000000}"/>
  </bookViews>
  <sheets>
    <sheet name="Monthly EMI" sheetId="1" r:id="rId1"/>
    <sheet name="Revenue" sheetId="2" r:id="rId2"/>
    <sheet name="Product Price &amp; Total Revenue" sheetId="5" r:id="rId3"/>
    <sheet name="Task1"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8" l="1"/>
  <c r="N12" i="8" s="1"/>
  <c r="C9" i="5"/>
  <c r="L13" i="5" s="1"/>
  <c r="C10" i="2"/>
  <c r="G8" i="2" s="1"/>
  <c r="C8" i="1"/>
  <c r="J12" i="1" s="1"/>
  <c r="I8" i="2" l="1"/>
  <c r="G13" i="5"/>
  <c r="H12" i="1"/>
  <c r="I12" i="8"/>
</calcChain>
</file>

<file path=xl/sharedStrings.xml><?xml version="1.0" encoding="utf-8"?>
<sst xmlns="http://schemas.openxmlformats.org/spreadsheetml/2006/main" count="28" uniqueCount="24">
  <si>
    <t>Loan Amount</t>
  </si>
  <si>
    <t>Interest Rate</t>
  </si>
  <si>
    <t>No of Years</t>
  </si>
  <si>
    <t>Monthly Payment</t>
  </si>
  <si>
    <t>Interest Rate, No of years</t>
  </si>
  <si>
    <t>Capital</t>
  </si>
  <si>
    <t>Growth per Year</t>
  </si>
  <si>
    <t>Total Revienue</t>
  </si>
  <si>
    <t>Total Revenue</t>
  </si>
  <si>
    <t>No. of Years</t>
  </si>
  <si>
    <t>1 Variable Data Table</t>
  </si>
  <si>
    <t>2 Variable Data Table</t>
  </si>
  <si>
    <t>Price per Unit</t>
  </si>
  <si>
    <t>Quantity Sold</t>
  </si>
  <si>
    <r>
      <t>1 Variable Data Table:</t>
    </r>
    <r>
      <rPr>
        <sz val="11"/>
        <color theme="1"/>
        <rFont val="Calibri"/>
        <family val="2"/>
        <scheme val="minor"/>
      </rPr>
      <t xml:space="preserve"> (Price vs. Total Revenue)</t>
    </r>
  </si>
  <si>
    <r>
      <t>2 Variable Data Table:</t>
    </r>
    <r>
      <rPr>
        <sz val="11"/>
        <color theme="1"/>
        <rFont val="Calibri"/>
        <family val="2"/>
        <scheme val="minor"/>
      </rPr>
      <t xml:space="preserve"> (Price, Quantity Sold)</t>
    </r>
  </si>
  <si>
    <r>
      <rPr>
        <sz val="11"/>
        <color theme="1"/>
        <rFont val="Calibri"/>
        <family val="2"/>
        <scheme val="minor"/>
      </rPr>
      <t xml:space="preserve"> </t>
    </r>
    <r>
      <rPr>
        <sz val="10"/>
        <color theme="1"/>
        <rFont val="Arial Unicode MS"/>
      </rPr>
      <t>Total Revenue = Price * Quantity Sold</t>
    </r>
  </si>
  <si>
    <t>Order Quantity</t>
  </si>
  <si>
    <t>Unit Cost</t>
  </si>
  <si>
    <t>Inventory Cost</t>
  </si>
  <si>
    <r>
      <t>1 Variable Data Table:</t>
    </r>
    <r>
      <rPr>
        <sz val="11"/>
        <color theme="1"/>
        <rFont val="Calibri"/>
        <family val="2"/>
        <scheme val="minor"/>
      </rPr>
      <t xml:space="preserve"> (Quantity Vs Inventory cost)</t>
    </r>
  </si>
  <si>
    <t>Total Revenue = (Capital+Capital*Growth rate)*yrs</t>
  </si>
  <si>
    <t>Inventory cost = Quantity * Unit cost</t>
  </si>
  <si>
    <t>Monthly payment = pmt(interest rate,nper,pv)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</si>
</sst>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0_);[Red]\(&quot;$&quot;#,##0\)"/>
    <numFmt numFmtId="165" formatCode="[$₹-449]\ #,##0.00;[Red][$₹-449]\ \-#,##0.00"/>
  </numFmts>
  <fonts count="3">
    <font>
      <sz val="11"/>
      <color theme="1"/>
      <name val="Calibri"/>
      <family val="2"/>
      <scheme val="minor"/>
    </font>
    <font>
      <b/>
      <sz val="11"/>
      <color theme="1"/>
      <name val="Calibri"/>
      <family val="2"/>
      <scheme val="minor"/>
    </font>
    <font>
      <sz val="10"/>
      <color theme="1"/>
      <name val="Arial Unicode MS"/>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1" xfId="0" applyBorder="1"/>
    <xf numFmtId="165" fontId="0" fillId="0" borderId="1" xfId="0" applyNumberFormat="1" applyBorder="1"/>
    <xf numFmtId="165" fontId="0" fillId="2" borderId="1" xfId="0" applyNumberFormat="1" applyFill="1" applyBorder="1"/>
    <xf numFmtId="9" fontId="0" fillId="2" borderId="1" xfId="0" applyNumberFormat="1" applyFill="1" applyBorder="1"/>
    <xf numFmtId="0" fontId="0" fillId="2" borderId="1" xfId="0" applyFill="1" applyBorder="1"/>
    <xf numFmtId="0" fontId="1" fillId="3" borderId="1" xfId="0" applyFont="1" applyFill="1" applyBorder="1"/>
    <xf numFmtId="165" fontId="0" fillId="4" borderId="1" xfId="0" applyNumberFormat="1" applyFill="1" applyBorder="1"/>
    <xf numFmtId="0" fontId="0" fillId="5" borderId="1" xfId="0" applyFill="1" applyBorder="1"/>
    <xf numFmtId="9" fontId="0" fillId="5" borderId="1" xfId="0" applyNumberFormat="1" applyFill="1" applyBorder="1"/>
    <xf numFmtId="0" fontId="0" fillId="4" borderId="1" xfId="0" applyFill="1" applyBorder="1"/>
    <xf numFmtId="9" fontId="0" fillId="6" borderId="1" xfId="0" applyNumberFormat="1" applyFill="1" applyBorder="1"/>
    <xf numFmtId="10" fontId="0" fillId="6" borderId="1" xfId="0" applyNumberFormat="1" applyFill="1" applyBorder="1"/>
    <xf numFmtId="0" fontId="0" fillId="6" borderId="1" xfId="0" applyFill="1" applyBorder="1"/>
    <xf numFmtId="0" fontId="1" fillId="0" borderId="0" xfId="0" applyFon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164" fontId="0" fillId="0" borderId="1" xfId="0" applyNumberFormat="1" applyBorder="1" applyAlignment="1">
      <alignment horizontal="left"/>
    </xf>
    <xf numFmtId="0" fontId="0" fillId="6" borderId="1" xfId="0" applyFill="1" applyBorder="1" applyAlignment="1">
      <alignment horizontal="left" vertical="center" wrapText="1"/>
    </xf>
    <xf numFmtId="0" fontId="0" fillId="6" borderId="1" xfId="0" applyFill="1" applyBorder="1" applyAlignment="1">
      <alignment horizontal="left"/>
    </xf>
    <xf numFmtId="164"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164" fontId="0" fillId="2" borderId="1" xfId="0" applyNumberFormat="1" applyFill="1" applyBorder="1" applyAlignment="1">
      <alignment vertical="center" wrapText="1"/>
    </xf>
    <xf numFmtId="164" fontId="0" fillId="0" borderId="1" xfId="0" applyNumberFormat="1" applyBorder="1" applyAlignment="1">
      <alignment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vertical="center" wrapText="1"/>
    </xf>
    <xf numFmtId="0" fontId="0" fillId="0" borderId="0" xfId="0" applyAlignment="1">
      <alignment vertical="center" wrapText="1"/>
    </xf>
    <xf numFmtId="164" fontId="0" fillId="0" borderId="0" xfId="0" applyNumberFormat="1" applyAlignment="1">
      <alignment vertical="center" wrapText="1"/>
    </xf>
    <xf numFmtId="38" fontId="0" fillId="2" borderId="1" xfId="0" applyNumberFormat="1" applyFill="1" applyBorder="1" applyAlignment="1">
      <alignmen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7" borderId="1" xfId="0" applyFill="1" applyBorder="1"/>
    <xf numFmtId="164" fontId="0" fillId="4" borderId="0" xfId="0" applyNumberFormat="1" applyFill="1"/>
    <xf numFmtId="0" fontId="1" fillId="0" borderId="0" xfId="0" applyFont="1" applyAlignment="1">
      <alignment horizontal="center"/>
    </xf>
    <xf numFmtId="8" fontId="0" fillId="0" borderId="1" xfId="0" applyNumberFormat="1" applyBorder="1"/>
    <xf numFmtId="2" fontId="0" fillId="0" borderId="1" xfId="0" applyNumberFormat="1" applyBorder="1"/>
    <xf numFmtId="2"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63500</xdr:rowOff>
    </xdr:from>
    <xdr:to>
      <xdr:col>14</xdr:col>
      <xdr:colOff>387350</xdr:colOff>
      <xdr:row>3</xdr:row>
      <xdr:rowOff>63500</xdr:rowOff>
    </xdr:to>
    <xdr:sp macro="" textlink="">
      <xdr:nvSpPr>
        <xdr:cNvPr id="2" name="TextBox 1">
          <a:extLst>
            <a:ext uri="{FF2B5EF4-FFF2-40B4-BE49-F238E27FC236}">
              <a16:creationId xmlns:a16="http://schemas.microsoft.com/office/drawing/2014/main" id="{2847CA82-EBF5-C6A3-44B3-F5E3B6962EB4}"/>
            </a:ext>
          </a:extLst>
        </xdr:cNvPr>
        <xdr:cNvSpPr txBox="1"/>
      </xdr:nvSpPr>
      <xdr:spPr>
        <a:xfrm>
          <a:off x="685800" y="63500"/>
          <a:ext cx="9245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monthly loan payment for a loan amount of ₹5,00,000 at an interest rate of 20% for 12 years, and analyze how the monthly payment changes with varying interest rates or loan amounts using a data table.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25400</xdr:rowOff>
    </xdr:from>
    <xdr:to>
      <xdr:col>11</xdr:col>
      <xdr:colOff>177800</xdr:colOff>
      <xdr:row>3</xdr:row>
      <xdr:rowOff>146050</xdr:rowOff>
    </xdr:to>
    <xdr:sp macro="" textlink="">
      <xdr:nvSpPr>
        <xdr:cNvPr id="2" name="TextBox 1">
          <a:extLst>
            <a:ext uri="{FF2B5EF4-FFF2-40B4-BE49-F238E27FC236}">
              <a16:creationId xmlns:a16="http://schemas.microsoft.com/office/drawing/2014/main" id="{960239AB-0E92-49E0-81FB-B85801C4BA7C}"/>
            </a:ext>
          </a:extLst>
        </xdr:cNvPr>
        <xdr:cNvSpPr txBox="1"/>
      </xdr:nvSpPr>
      <xdr:spPr>
        <a:xfrm>
          <a:off x="793750" y="209550"/>
          <a:ext cx="742950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an initial capital of ₹55,000 with a yearly growth rate of 13% over 1 year, and explore how the total revenue changes with different growth rates using a data table.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120650</xdr:colOff>
      <xdr:row>1</xdr:row>
      <xdr:rowOff>12700</xdr:rowOff>
    </xdr:from>
    <xdr:to>
      <xdr:col>11</xdr:col>
      <xdr:colOff>514350</xdr:colOff>
      <xdr:row>3</xdr:row>
      <xdr:rowOff>152400</xdr:rowOff>
    </xdr:to>
    <xdr:sp macro="" textlink="">
      <xdr:nvSpPr>
        <xdr:cNvPr id="2" name="TextBox 1">
          <a:extLst>
            <a:ext uri="{FF2B5EF4-FFF2-40B4-BE49-F238E27FC236}">
              <a16:creationId xmlns:a16="http://schemas.microsoft.com/office/drawing/2014/main" id="{C1D9B256-FE4C-6F6C-C3DF-DF098549766C}"/>
            </a:ext>
          </a:extLst>
        </xdr:cNvPr>
        <xdr:cNvSpPr txBox="1"/>
      </xdr:nvSpPr>
      <xdr:spPr>
        <a:xfrm>
          <a:off x="730250" y="196850"/>
          <a:ext cx="74422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 product priced at $50 per unit with 1,000 units sold, and analyze how total revenue changes with varying prices or quantities using a data table.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63500</xdr:colOff>
      <xdr:row>1</xdr:row>
      <xdr:rowOff>69850</xdr:rowOff>
    </xdr:from>
    <xdr:to>
      <xdr:col>16</xdr:col>
      <xdr:colOff>165100</xdr:colOff>
      <xdr:row>6</xdr:row>
      <xdr:rowOff>44450</xdr:rowOff>
    </xdr:to>
    <xdr:sp macro="" textlink="">
      <xdr:nvSpPr>
        <xdr:cNvPr id="2" name="TextBox 1">
          <a:extLst>
            <a:ext uri="{FF2B5EF4-FFF2-40B4-BE49-F238E27FC236}">
              <a16:creationId xmlns:a16="http://schemas.microsoft.com/office/drawing/2014/main" id="{15FED527-AC09-6C64-3E2F-0A000FCB2E87}"/>
            </a:ext>
          </a:extLst>
        </xdr:cNvPr>
        <xdr:cNvSpPr txBox="1"/>
      </xdr:nvSpPr>
      <xdr:spPr>
        <a:xfrm>
          <a:off x="1282700" y="254000"/>
          <a:ext cx="86360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Managing Inventory Costs with Varying Order Quantities</a:t>
          </a:r>
        </a:p>
        <a:p>
          <a:r>
            <a:rPr lang="en-US"/>
            <a:t>A retail store wants to optimize its inventory costs by adjusting order quantities and negotiating unit prices with suppliers. The store needs to understand how changes in order quantity and unit cost affect the total inventory cost.</a:t>
          </a:r>
        </a:p>
        <a:p>
          <a:r>
            <a:rPr lang="en-US" b="1"/>
            <a:t>Objective:</a:t>
          </a:r>
          <a:r>
            <a:rPr lang="en-US"/>
            <a:t> Create a data table to model inventory costs by multiplying order quantities with unit costs, then vary both inputs to analyze the impact on total cost.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22"/>
  <sheetViews>
    <sheetView tabSelected="1" topLeftCell="A2" workbookViewId="0">
      <selection activeCell="J12" sqref="J12:P22"/>
    </sheetView>
  </sheetViews>
  <sheetFormatPr defaultRowHeight="14.4"/>
  <cols>
    <col min="2" max="2" width="21.33203125" customWidth="1"/>
    <col min="3" max="3" width="9.44140625" bestFit="1" customWidth="1"/>
    <col min="7" max="7" width="9.21875" bestFit="1" customWidth="1"/>
    <col min="8" max="8" width="9.44140625" bestFit="1" customWidth="1"/>
    <col min="10" max="10" width="9.21875" bestFit="1" customWidth="1"/>
  </cols>
  <sheetData>
    <row r="5" spans="2:16">
      <c r="B5" s="6" t="s">
        <v>0</v>
      </c>
      <c r="C5" s="1">
        <v>500000</v>
      </c>
    </row>
    <row r="6" spans="2:16">
      <c r="B6" s="6" t="s">
        <v>1</v>
      </c>
      <c r="C6" s="4">
        <v>0.2</v>
      </c>
    </row>
    <row r="7" spans="2:16">
      <c r="B7" s="6" t="s">
        <v>2</v>
      </c>
      <c r="C7" s="5">
        <v>12</v>
      </c>
    </row>
    <row r="8" spans="2:16">
      <c r="B8" s="6" t="s">
        <v>3</v>
      </c>
      <c r="C8" s="7">
        <f>PMT(C6/12,12*12,-C5)</f>
        <v>9183.0427253542184</v>
      </c>
    </row>
    <row r="9" spans="2:16">
      <c r="G9" s="14" t="s">
        <v>10</v>
      </c>
      <c r="L9" s="14" t="s">
        <v>11</v>
      </c>
    </row>
    <row r="10" spans="2:16">
      <c r="G10" s="35" t="s">
        <v>1</v>
      </c>
      <c r="H10" s="35"/>
      <c r="K10" s="35" t="s">
        <v>4</v>
      </c>
      <c r="L10" s="35"/>
      <c r="M10" s="35"/>
      <c r="N10" s="35"/>
      <c r="O10" s="35"/>
    </row>
    <row r="12" spans="2:16">
      <c r="B12" t="s">
        <v>23</v>
      </c>
      <c r="G12" s="2"/>
      <c r="H12" s="3">
        <f>C8</f>
        <v>9183.0427253542184</v>
      </c>
      <c r="J12" s="37">
        <f>C8</f>
        <v>9183.0427253542184</v>
      </c>
      <c r="K12" s="38">
        <v>5</v>
      </c>
      <c r="L12" s="38">
        <v>7</v>
      </c>
      <c r="M12" s="38">
        <v>12</v>
      </c>
      <c r="N12" s="38">
        <v>15</v>
      </c>
      <c r="O12" s="38">
        <v>18</v>
      </c>
      <c r="P12" s="38">
        <v>20</v>
      </c>
    </row>
    <row r="13" spans="2:16">
      <c r="G13" s="4">
        <v>0.02</v>
      </c>
      <c r="H13" s="36">
        <f t="dataTable" ref="H13:H22" dt2D="0" dtr="0" r1="C6" ca="1"/>
        <v>3908.4184592546403</v>
      </c>
      <c r="J13" s="38">
        <v>0.02</v>
      </c>
      <c r="K13" s="37">
        <f t="dataTable" ref="K13:P22" dt2D="1" dtr="1" r1="C7" r2="C6"/>
        <v>3908.4184592546403</v>
      </c>
      <c r="L13" s="37">
        <v>3908.4184592546403</v>
      </c>
      <c r="M13" s="37">
        <v>3908.4184592546403</v>
      </c>
      <c r="N13" s="37">
        <v>3908.4184592546403</v>
      </c>
      <c r="O13" s="37">
        <v>3908.4184592546403</v>
      </c>
      <c r="P13" s="37">
        <v>3908.4184592546403</v>
      </c>
    </row>
    <row r="14" spans="2:16">
      <c r="G14" s="4">
        <v>0.04</v>
      </c>
      <c r="H14" s="36">
        <v>4377.6418445680201</v>
      </c>
      <c r="J14" s="38">
        <v>0.04</v>
      </c>
      <c r="K14" s="37">
        <v>4377.6418445680201</v>
      </c>
      <c r="L14" s="37">
        <v>4377.6418445680201</v>
      </c>
      <c r="M14" s="37">
        <v>4377.6418445680201</v>
      </c>
      <c r="N14" s="37">
        <v>4377.6418445680201</v>
      </c>
      <c r="O14" s="37">
        <v>4377.6418445680201</v>
      </c>
      <c r="P14" s="37">
        <v>4377.6418445680201</v>
      </c>
    </row>
    <row r="15" spans="2:16">
      <c r="G15" s="4">
        <v>0.06</v>
      </c>
      <c r="H15" s="36">
        <v>4879.2510678813924</v>
      </c>
      <c r="J15" s="38">
        <v>0.06</v>
      </c>
      <c r="K15" s="37">
        <v>4879.2510678813924</v>
      </c>
      <c r="L15" s="37">
        <v>4879.2510678813924</v>
      </c>
      <c r="M15" s="37">
        <v>4879.2510678813924</v>
      </c>
      <c r="N15" s="37">
        <v>4879.2510678813924</v>
      </c>
      <c r="O15" s="37">
        <v>4879.2510678813924</v>
      </c>
      <c r="P15" s="37">
        <v>4879.2510678813924</v>
      </c>
    </row>
    <row r="16" spans="2:16">
      <c r="E16" s="14"/>
      <c r="G16" s="4">
        <v>0.08</v>
      </c>
      <c r="H16" s="36">
        <v>5412.2629170174077</v>
      </c>
      <c r="J16" s="38">
        <v>0.08</v>
      </c>
      <c r="K16" s="37">
        <v>5412.2629170174077</v>
      </c>
      <c r="L16" s="37">
        <v>5412.2629170174077</v>
      </c>
      <c r="M16" s="37">
        <v>5412.2629170174077</v>
      </c>
      <c r="N16" s="37">
        <v>5412.2629170174077</v>
      </c>
      <c r="O16" s="37">
        <v>5412.2629170174077</v>
      </c>
      <c r="P16" s="37">
        <v>5412.2629170174077</v>
      </c>
    </row>
    <row r="17" spans="7:16">
      <c r="G17" s="4">
        <v>0.1</v>
      </c>
      <c r="H17" s="36">
        <v>5975.3913141366684</v>
      </c>
      <c r="J17" s="38">
        <v>0.1</v>
      </c>
      <c r="K17" s="37">
        <v>5975.3913141366684</v>
      </c>
      <c r="L17" s="37">
        <v>5975.3913141366684</v>
      </c>
      <c r="M17" s="37">
        <v>5975.3913141366684</v>
      </c>
      <c r="N17" s="37">
        <v>5975.3913141366684</v>
      </c>
      <c r="O17" s="37">
        <v>5975.3913141366684</v>
      </c>
      <c r="P17" s="37">
        <v>5975.3913141366684</v>
      </c>
    </row>
    <row r="18" spans="7:16">
      <c r="G18" s="4">
        <v>0.12</v>
      </c>
      <c r="H18" s="1">
        <v>6567.0957071820603</v>
      </c>
      <c r="J18" s="38">
        <v>0.12</v>
      </c>
      <c r="K18" s="37">
        <v>6567.0957071820603</v>
      </c>
      <c r="L18" s="37">
        <v>6567.0957071820603</v>
      </c>
      <c r="M18" s="37">
        <v>6567.0957071820603</v>
      </c>
      <c r="N18" s="37">
        <v>6567.0957071820603</v>
      </c>
      <c r="O18" s="37">
        <v>6567.0957071820603</v>
      </c>
      <c r="P18" s="37">
        <v>6567.0957071820603</v>
      </c>
    </row>
    <row r="19" spans="7:16">
      <c r="G19" s="4">
        <v>0.14000000000000001</v>
      </c>
      <c r="H19" s="1">
        <v>7185.6354227543397</v>
      </c>
      <c r="J19" s="38">
        <v>0.14000000000000001</v>
      </c>
      <c r="K19" s="37">
        <v>7185.6354227543397</v>
      </c>
      <c r="L19" s="37">
        <v>7185.6354227543397</v>
      </c>
      <c r="M19" s="37">
        <v>7185.6354227543397</v>
      </c>
      <c r="N19" s="37">
        <v>7185.6354227543397</v>
      </c>
      <c r="O19" s="37">
        <v>7185.6354227543397</v>
      </c>
      <c r="P19" s="37">
        <v>7185.6354227543397</v>
      </c>
    </row>
    <row r="20" spans="7:16">
      <c r="G20" s="4">
        <v>0.16</v>
      </c>
      <c r="H20" s="1">
        <v>7829.1264832846418</v>
      </c>
      <c r="J20" s="38">
        <v>0.16</v>
      </c>
      <c r="K20" s="37">
        <v>7829.1264832846418</v>
      </c>
      <c r="L20" s="37">
        <v>7829.1264832846418</v>
      </c>
      <c r="M20" s="37">
        <v>7829.1264832846418</v>
      </c>
      <c r="N20" s="37">
        <v>7829.1264832846418</v>
      </c>
      <c r="O20" s="37">
        <v>7829.1264832846418</v>
      </c>
      <c r="P20" s="37">
        <v>7829.1264832846418</v>
      </c>
    </row>
    <row r="21" spans="7:16">
      <c r="G21" s="4">
        <v>0.18</v>
      </c>
      <c r="H21" s="1">
        <v>8495.5976224547285</v>
      </c>
      <c r="J21" s="38">
        <v>0.18</v>
      </c>
      <c r="K21" s="37">
        <v>8495.5976224547285</v>
      </c>
      <c r="L21" s="37">
        <v>8495.5976224547285</v>
      </c>
      <c r="M21" s="37">
        <v>8495.5976224547285</v>
      </c>
      <c r="N21" s="37">
        <v>8495.5976224547285</v>
      </c>
      <c r="O21" s="37">
        <v>8495.5976224547285</v>
      </c>
      <c r="P21" s="37">
        <v>8495.5976224547285</v>
      </c>
    </row>
    <row r="22" spans="7:16">
      <c r="G22" s="4">
        <v>0.2</v>
      </c>
      <c r="H22" s="1">
        <v>9183.0427253542184</v>
      </c>
      <c r="J22" s="38">
        <v>0.2</v>
      </c>
      <c r="K22" s="37">
        <v>9183.0427253542184</v>
      </c>
      <c r="L22" s="37">
        <v>9183.0427253542184</v>
      </c>
      <c r="M22" s="37">
        <v>9183.0427253542184</v>
      </c>
      <c r="N22" s="37">
        <v>9183.0427253542184</v>
      </c>
      <c r="O22" s="37">
        <v>9183.0427253542184</v>
      </c>
      <c r="P22" s="37">
        <v>9183.0427253542184</v>
      </c>
    </row>
  </sheetData>
  <mergeCells count="2">
    <mergeCell ref="G10:H10"/>
    <mergeCell ref="K10:O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63BE-E8E9-48EE-9C49-4AC43BF8181E}">
  <dimension ref="B7:N16"/>
  <sheetViews>
    <sheetView workbookViewId="0">
      <selection activeCell="I8" sqref="I8:N16"/>
    </sheetView>
  </sheetViews>
  <sheetFormatPr defaultRowHeight="14.4"/>
  <cols>
    <col min="2" max="2" width="19.33203125" bestFit="1" customWidth="1"/>
    <col min="6" max="6" width="12.77734375" customWidth="1"/>
    <col min="7" max="7" width="13.21875" customWidth="1"/>
  </cols>
  <sheetData>
    <row r="7" spans="2:14">
      <c r="B7" s="13" t="s">
        <v>5</v>
      </c>
      <c r="C7" s="1">
        <v>55000</v>
      </c>
      <c r="F7" s="14" t="s">
        <v>10</v>
      </c>
      <c r="I7" s="14" t="s">
        <v>11</v>
      </c>
    </row>
    <row r="8" spans="2:14">
      <c r="B8" s="13" t="s">
        <v>6</v>
      </c>
      <c r="C8" s="9">
        <v>0.13</v>
      </c>
      <c r="F8" s="33"/>
      <c r="G8" s="8">
        <f>C10</f>
        <v>62150</v>
      </c>
      <c r="I8" s="8">
        <f>C10</f>
        <v>62150</v>
      </c>
      <c r="J8" s="13">
        <v>1</v>
      </c>
      <c r="K8" s="13">
        <v>2</v>
      </c>
      <c r="L8" s="13">
        <v>3</v>
      </c>
      <c r="M8" s="13">
        <v>4</v>
      </c>
      <c r="N8" s="13">
        <v>5</v>
      </c>
    </row>
    <row r="9" spans="2:14">
      <c r="B9" s="13" t="s">
        <v>9</v>
      </c>
      <c r="C9" s="5">
        <v>1</v>
      </c>
      <c r="F9" s="11">
        <v>0.13</v>
      </c>
      <c r="G9" s="1">
        <f t="dataTable" ref="G9:G16" dt2D="0" dtr="0" r1="C8"/>
        <v>62150</v>
      </c>
      <c r="I9" s="11">
        <v>0.13</v>
      </c>
      <c r="J9" s="1">
        <f t="dataTable" ref="J9:N16" dt2D="1" dtr="1" r1="C9" r2="C8" ca="1"/>
        <v>62150</v>
      </c>
      <c r="K9" s="1">
        <v>124300</v>
      </c>
      <c r="L9" s="1">
        <v>186450</v>
      </c>
      <c r="M9" s="1">
        <v>248600</v>
      </c>
      <c r="N9" s="1">
        <v>310750</v>
      </c>
    </row>
    <row r="10" spans="2:14">
      <c r="B10" s="13" t="s">
        <v>7</v>
      </c>
      <c r="C10" s="10">
        <f>(C7+C7*C8)*C9</f>
        <v>62150</v>
      </c>
      <c r="F10" s="12">
        <v>0.13500000000000001</v>
      </c>
      <c r="G10" s="1">
        <v>62425</v>
      </c>
      <c r="I10" s="12">
        <v>0.13500000000000001</v>
      </c>
      <c r="J10" s="1">
        <v>62425</v>
      </c>
      <c r="K10" s="1">
        <v>124850</v>
      </c>
      <c r="L10" s="1">
        <v>187275</v>
      </c>
      <c r="M10" s="1">
        <v>249700</v>
      </c>
      <c r="N10" s="1">
        <v>312125</v>
      </c>
    </row>
    <row r="11" spans="2:14">
      <c r="F11" s="11">
        <v>0.14000000000000001</v>
      </c>
      <c r="G11" s="1">
        <v>62700</v>
      </c>
      <c r="I11" s="11">
        <v>0.14000000000000001</v>
      </c>
      <c r="J11" s="1">
        <v>62700</v>
      </c>
      <c r="K11" s="1">
        <v>125400</v>
      </c>
      <c r="L11" s="1">
        <v>188100</v>
      </c>
      <c r="M11" s="1">
        <v>250800</v>
      </c>
      <c r="N11" s="1">
        <v>313500</v>
      </c>
    </row>
    <row r="12" spans="2:14">
      <c r="F12" s="12">
        <v>0.14499999999999999</v>
      </c>
      <c r="G12" s="1">
        <v>62975</v>
      </c>
      <c r="I12" s="12">
        <v>0.14499999999999999</v>
      </c>
      <c r="J12" s="1">
        <v>62975</v>
      </c>
      <c r="K12" s="1">
        <v>125950</v>
      </c>
      <c r="L12" s="1">
        <v>188925</v>
      </c>
      <c r="M12" s="1">
        <v>251900</v>
      </c>
      <c r="N12" s="1">
        <v>314875</v>
      </c>
    </row>
    <row r="13" spans="2:14">
      <c r="B13" t="s">
        <v>21</v>
      </c>
      <c r="F13" s="11">
        <v>0.15</v>
      </c>
      <c r="G13" s="1">
        <v>63250</v>
      </c>
      <c r="I13" s="11">
        <v>0.15</v>
      </c>
      <c r="J13" s="1">
        <v>63250</v>
      </c>
      <c r="K13" s="1">
        <v>126500</v>
      </c>
      <c r="L13" s="1">
        <v>189750</v>
      </c>
      <c r="M13" s="1">
        <v>253000</v>
      </c>
      <c r="N13" s="1">
        <v>316250</v>
      </c>
    </row>
    <row r="14" spans="2:14">
      <c r="F14" s="12">
        <v>0.155</v>
      </c>
      <c r="G14" s="1">
        <v>63525</v>
      </c>
      <c r="I14" s="12">
        <v>0.155</v>
      </c>
      <c r="J14" s="1">
        <v>63525</v>
      </c>
      <c r="K14" s="1">
        <v>127050</v>
      </c>
      <c r="L14" s="1">
        <v>190575</v>
      </c>
      <c r="M14" s="1">
        <v>254100</v>
      </c>
      <c r="N14" s="1">
        <v>317625</v>
      </c>
    </row>
    <row r="15" spans="2:14">
      <c r="F15" s="11">
        <v>0.16</v>
      </c>
      <c r="G15" s="1">
        <v>63800</v>
      </c>
      <c r="I15" s="11">
        <v>0.16</v>
      </c>
      <c r="J15" s="1">
        <v>63800</v>
      </c>
      <c r="K15" s="1">
        <v>127600</v>
      </c>
      <c r="L15" s="1">
        <v>191400</v>
      </c>
      <c r="M15" s="1">
        <v>255200</v>
      </c>
      <c r="N15" s="1">
        <v>319000</v>
      </c>
    </row>
    <row r="16" spans="2:14">
      <c r="F16" s="12">
        <v>0.16500000000000001</v>
      </c>
      <c r="G16" s="1">
        <v>64075</v>
      </c>
      <c r="I16" s="12">
        <v>0.16500000000000001</v>
      </c>
      <c r="J16" s="1">
        <v>64075</v>
      </c>
      <c r="K16" s="1">
        <v>128150</v>
      </c>
      <c r="L16" s="1">
        <v>192225</v>
      </c>
      <c r="M16" s="1">
        <v>256300</v>
      </c>
      <c r="N16" s="1">
        <v>320375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FB4D-CAFF-4E3C-B0FC-C0231C888B1E}">
  <dimension ref="B6:P22"/>
  <sheetViews>
    <sheetView workbookViewId="0">
      <selection activeCell="L13" sqref="L13:P17"/>
    </sheetView>
  </sheetViews>
  <sheetFormatPr defaultRowHeight="14.4"/>
  <cols>
    <col min="2" max="2" width="20.6640625" customWidth="1"/>
    <col min="3" max="3" width="10.44140625" customWidth="1"/>
  </cols>
  <sheetData>
    <row r="6" spans="2:16">
      <c r="E6" t="s">
        <v>16</v>
      </c>
    </row>
    <row r="7" spans="2:16">
      <c r="B7" s="20" t="s">
        <v>12</v>
      </c>
      <c r="C7" s="22">
        <v>50</v>
      </c>
    </row>
    <row r="8" spans="2:16">
      <c r="B8" s="20" t="s">
        <v>13</v>
      </c>
      <c r="C8" s="23">
        <v>1000</v>
      </c>
    </row>
    <row r="9" spans="2:16">
      <c r="B9" s="21" t="s">
        <v>8</v>
      </c>
      <c r="C9" s="19">
        <f>C7*C8</f>
        <v>50000</v>
      </c>
    </row>
    <row r="11" spans="2:16">
      <c r="F11" s="14" t="s">
        <v>14</v>
      </c>
      <c r="L11" s="14" t="s">
        <v>15</v>
      </c>
    </row>
    <row r="13" spans="2:16">
      <c r="F13" s="18"/>
      <c r="G13" s="32">
        <f>C9</f>
        <v>50000</v>
      </c>
      <c r="L13" s="32">
        <f>C9</f>
        <v>50000</v>
      </c>
      <c r="M13" s="26">
        <v>800</v>
      </c>
      <c r="N13" s="26">
        <v>900</v>
      </c>
      <c r="O13" s="26">
        <v>1000</v>
      </c>
      <c r="P13" s="26">
        <v>1100</v>
      </c>
    </row>
    <row r="14" spans="2:16">
      <c r="F14" s="24">
        <v>45</v>
      </c>
      <c r="G14" s="25">
        <f t="dataTable" ref="G14:G18" dt2D="0" dtr="0" r1="C7" ca="1"/>
        <v>45000</v>
      </c>
      <c r="L14" s="27">
        <v>45</v>
      </c>
      <c r="M14" s="25">
        <f t="dataTable" ref="M14:P17" dt2D="1" dtr="1" r1="C8" r2="C7"/>
        <v>36000</v>
      </c>
      <c r="N14" s="25">
        <v>40500</v>
      </c>
      <c r="O14" s="25">
        <v>45000</v>
      </c>
      <c r="P14" s="25">
        <v>49500</v>
      </c>
    </row>
    <row r="15" spans="2:16">
      <c r="F15" s="24">
        <v>50</v>
      </c>
      <c r="G15" s="25">
        <v>50000</v>
      </c>
      <c r="L15" s="27">
        <v>50</v>
      </c>
      <c r="M15" s="25">
        <v>40000</v>
      </c>
      <c r="N15" s="25">
        <v>45000</v>
      </c>
      <c r="O15" s="25">
        <v>50000</v>
      </c>
      <c r="P15" s="25">
        <v>55000</v>
      </c>
    </row>
    <row r="16" spans="2:16">
      <c r="F16" s="24">
        <v>55</v>
      </c>
      <c r="G16" s="25">
        <v>55000</v>
      </c>
      <c r="L16" s="27">
        <v>55</v>
      </c>
      <c r="M16" s="25">
        <v>44000</v>
      </c>
      <c r="N16" s="25">
        <v>49500</v>
      </c>
      <c r="O16" s="25">
        <v>55000</v>
      </c>
      <c r="P16" s="25">
        <v>60500</v>
      </c>
    </row>
    <row r="17" spans="2:16">
      <c r="F17" s="24">
        <v>60</v>
      </c>
      <c r="G17" s="25">
        <v>60000</v>
      </c>
      <c r="L17" s="27">
        <v>60</v>
      </c>
      <c r="M17" s="25">
        <v>48000</v>
      </c>
      <c r="N17" s="25">
        <v>54000</v>
      </c>
      <c r="O17" s="25">
        <v>60000</v>
      </c>
      <c r="P17" s="25">
        <v>66000</v>
      </c>
    </row>
    <row r="18" spans="2:16">
      <c r="F18" s="24">
        <v>65</v>
      </c>
      <c r="G18" s="25">
        <v>65000</v>
      </c>
    </row>
    <row r="21" spans="2:16">
      <c r="B21" s="15"/>
      <c r="C21" s="16"/>
    </row>
    <row r="22" spans="2:16">
      <c r="B22" s="17"/>
      <c r="C22"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80E6-CDA9-43AC-8642-889EF62028F6}">
  <dimension ref="C8:R17"/>
  <sheetViews>
    <sheetView workbookViewId="0">
      <selection activeCell="N12" sqref="N12:R17"/>
    </sheetView>
  </sheetViews>
  <sheetFormatPr defaultRowHeight="14.4"/>
  <cols>
    <col min="3" max="3" width="13" customWidth="1"/>
  </cols>
  <sheetData>
    <row r="8" spans="3:18">
      <c r="C8" t="s">
        <v>17</v>
      </c>
      <c r="D8">
        <v>100</v>
      </c>
      <c r="K8" s="15"/>
      <c r="L8" s="15"/>
      <c r="M8" s="15"/>
    </row>
    <row r="9" spans="3:18">
      <c r="C9" t="s">
        <v>18</v>
      </c>
      <c r="D9" s="29">
        <v>10</v>
      </c>
      <c r="K9" s="28"/>
      <c r="L9" s="29"/>
      <c r="M9" s="29"/>
    </row>
    <row r="10" spans="3:18">
      <c r="C10" t="s">
        <v>19</v>
      </c>
      <c r="D10" s="34">
        <f>D8*D9</f>
        <v>1000</v>
      </c>
      <c r="H10" s="14" t="s">
        <v>20</v>
      </c>
      <c r="K10" s="28"/>
      <c r="L10" s="29"/>
      <c r="M10" s="29"/>
      <c r="N10" s="14" t="s">
        <v>15</v>
      </c>
    </row>
    <row r="11" spans="3:18">
      <c r="K11" s="28"/>
      <c r="L11" s="29"/>
      <c r="M11" s="29"/>
    </row>
    <row r="12" spans="3:18">
      <c r="C12" t="s">
        <v>22</v>
      </c>
      <c r="H12" s="18"/>
      <c r="I12" s="32">
        <f>D10</f>
        <v>1000</v>
      </c>
      <c r="N12" s="31">
        <f>D10</f>
        <v>1000</v>
      </c>
      <c r="O12" s="32">
        <v>10</v>
      </c>
      <c r="P12" s="32">
        <v>20</v>
      </c>
      <c r="Q12" s="32">
        <v>30</v>
      </c>
      <c r="R12" s="32">
        <v>40</v>
      </c>
    </row>
    <row r="13" spans="3:18">
      <c r="H13" s="30">
        <v>100</v>
      </c>
      <c r="I13" s="25">
        <f t="dataTable" ref="I13:I17" dt2D="0" dtr="0" r1="D8"/>
        <v>1000</v>
      </c>
      <c r="N13" s="30">
        <v>100</v>
      </c>
      <c r="O13" s="25">
        <f t="dataTable" ref="O13:R17" dt2D="1" dtr="1" r1="D9" r2="D8" ca="1"/>
        <v>1000</v>
      </c>
      <c r="P13" s="1">
        <v>2000</v>
      </c>
      <c r="Q13" s="1">
        <v>3000</v>
      </c>
      <c r="R13" s="1">
        <v>4000</v>
      </c>
    </row>
    <row r="14" spans="3:18">
      <c r="H14" s="30">
        <v>200</v>
      </c>
      <c r="I14" s="25">
        <v>2000</v>
      </c>
      <c r="N14" s="30">
        <v>200</v>
      </c>
      <c r="O14" s="25">
        <v>2000</v>
      </c>
      <c r="P14" s="1">
        <v>4000</v>
      </c>
      <c r="Q14" s="1">
        <v>6000</v>
      </c>
      <c r="R14" s="1">
        <v>8000</v>
      </c>
    </row>
    <row r="15" spans="3:18">
      <c r="H15" s="30">
        <v>300</v>
      </c>
      <c r="I15" s="25">
        <v>3000</v>
      </c>
      <c r="N15" s="30">
        <v>300</v>
      </c>
      <c r="O15" s="25">
        <v>3000</v>
      </c>
      <c r="P15" s="1">
        <v>6000</v>
      </c>
      <c r="Q15" s="1">
        <v>9000</v>
      </c>
      <c r="R15" s="1">
        <v>12000</v>
      </c>
    </row>
    <row r="16" spans="3:18">
      <c r="H16" s="30">
        <v>400</v>
      </c>
      <c r="I16" s="25">
        <v>4000</v>
      </c>
      <c r="N16" s="30">
        <v>400</v>
      </c>
      <c r="O16" s="25">
        <v>4000</v>
      </c>
      <c r="P16" s="1">
        <v>8000</v>
      </c>
      <c r="Q16" s="1">
        <v>12000</v>
      </c>
      <c r="R16" s="1">
        <v>16000</v>
      </c>
    </row>
    <row r="17" spans="8:18">
      <c r="H17" s="30">
        <v>500</v>
      </c>
      <c r="I17" s="25">
        <v>5000</v>
      </c>
      <c r="N17" s="30">
        <v>500</v>
      </c>
      <c r="O17" s="25">
        <v>5000</v>
      </c>
      <c r="P17" s="1">
        <v>10000</v>
      </c>
      <c r="Q17" s="1">
        <v>15000</v>
      </c>
      <c r="R17" s="1">
        <v>20000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Monthly EMI</vt:lpstr>
      <vt:lpstr>Revenue</vt:lpstr>
      <vt:lpstr>Product Price &amp; Total Revenue</vt:lpstr>
      <vt:lpstr>Task1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nikhi</cp:lastModifiedBy>
  <dcterms:created xsi:type="dcterms:W3CDTF">2015-06-05T18:17:20Z</dcterms:created>
  <dcterms:modified xsi:type="dcterms:W3CDTF">2026-08-12T13:03:31Z</dcterms:modified>
</cp:coreProperties>
</file>